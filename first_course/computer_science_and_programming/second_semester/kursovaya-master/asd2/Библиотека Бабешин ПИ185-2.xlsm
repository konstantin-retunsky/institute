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5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ЭтаКнига1" defaultThemeVersion="166925"/>
  <mc:AlternateContent xmlns:mc="http://schemas.openxmlformats.org/markup-compatibility/2006">
    <mc:Choice Requires="x15">
      <x15ac:absPath xmlns:x15ac="http://schemas.microsoft.com/office/spreadsheetml/2010/11/ac" url="D:\Курсач\"/>
    </mc:Choice>
  </mc:AlternateContent>
  <xr:revisionPtr revIDLastSave="0" documentId="13_ncr:1_{8B554935-FD3B-4748-B55E-E53F8D776705}" xr6:coauthVersionLast="36" xr6:coauthVersionMax="36" xr10:uidLastSave="{00000000-0000-0000-0000-000000000000}"/>
  <bookViews>
    <workbookView xWindow="0" yWindow="0" windowWidth="28710" windowHeight="12795" activeTab="1" xr2:uid="{00000000-000D-0000-FFFF-FFFF00000000}"/>
  </bookViews>
  <sheets>
    <sheet name="Книги" sheetId="1" r:id="rId1"/>
    <sheet name="Читатели" sheetId="2" r:id="rId2"/>
    <sheet name="Выдачи" sheetId="3" r:id="rId3"/>
    <sheet name="Итоги" sheetId="4" r:id="rId4"/>
    <sheet name="Книги, взятые читателем" sheetId="5" r:id="rId5"/>
  </sheets>
  <definedNames>
    <definedName name="BookName">Выдачи!$B$2</definedName>
    <definedName name="ClearList">Выдачи!$B$2:$B$5</definedName>
    <definedName name="DATE1">Выдачи!$B$4</definedName>
    <definedName name="DATE2">Выдачи!$B$5</definedName>
    <definedName name="FIOREADER">Выдачи!$B$3</definedName>
    <definedName name="NaMe">'Книги, взятые читателем'!$D$2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15" i="3" l="1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14" i="3"/>
</calcChain>
</file>

<file path=xl/sharedStrings.xml><?xml version="1.0" encoding="utf-8"?>
<sst xmlns="http://schemas.openxmlformats.org/spreadsheetml/2006/main" count="165" uniqueCount="51">
  <si>
    <t>№</t>
  </si>
  <si>
    <t>Автор</t>
  </si>
  <si>
    <t>Название</t>
  </si>
  <si>
    <t>ДатаИзадния</t>
  </si>
  <si>
    <t>№паспортаКниги</t>
  </si>
  <si>
    <t>Пушкин А.С.</t>
  </si>
  <si>
    <t>Стихи в 10 томах</t>
  </si>
  <si>
    <t>Проза</t>
  </si>
  <si>
    <t>Сапковский А.</t>
  </si>
  <si>
    <t>Ведьмак</t>
  </si>
  <si>
    <t>Номер паспорта</t>
  </si>
  <si>
    <t>ФИО</t>
  </si>
  <si>
    <t>Адрес проживания</t>
  </si>
  <si>
    <t>Дата рождения</t>
  </si>
  <si>
    <t>Утеряно книг</t>
  </si>
  <si>
    <t>Номер телефона</t>
  </si>
  <si>
    <t>Название Книги</t>
  </si>
  <si>
    <t>ФИО Читателя</t>
  </si>
  <si>
    <t>Дата Выдачи</t>
  </si>
  <si>
    <t>Дата Возврата</t>
  </si>
  <si>
    <t>Добавление записи</t>
  </si>
  <si>
    <t>ФИО читателя</t>
  </si>
  <si>
    <t>Дата выдачи</t>
  </si>
  <si>
    <t>Дата возврата</t>
  </si>
  <si>
    <t>10.01.2001</t>
  </si>
  <si>
    <t>gdfhgdfh</t>
  </si>
  <si>
    <t>gfhgfh</t>
  </si>
  <si>
    <t>Управление таблицей</t>
  </si>
  <si>
    <t>ул. Новая, д.1, кв.53</t>
  </si>
  <si>
    <t>Ул. Старая д.1,кв.52</t>
  </si>
  <si>
    <t>31.01.2001</t>
  </si>
  <si>
    <t>Артемов А.С.</t>
  </si>
  <si>
    <t>ул. Главная, д.12, кв.14</t>
  </si>
  <si>
    <t>14.05.1998</t>
  </si>
  <si>
    <t>Фамилия И.О.</t>
  </si>
  <si>
    <t>Иванов И.И.</t>
  </si>
  <si>
    <t>1.1.2000</t>
  </si>
  <si>
    <t>Паспорт книги</t>
  </si>
  <si>
    <t xml:space="preserve"> Дата выдачи</t>
  </si>
  <si>
    <t>УПРАВЛЕНИЕ ТАБЛИЦЕЙ</t>
  </si>
  <si>
    <t>Обновить таблицу</t>
  </si>
  <si>
    <t>Отчистить таблицу</t>
  </si>
  <si>
    <t>Бабешина К.А.</t>
  </si>
  <si>
    <t>Количество несданных книг</t>
  </si>
  <si>
    <t>Выбирете читателя</t>
  </si>
  <si>
    <t>Сергеев А.В.</t>
  </si>
  <si>
    <t>Непал</t>
  </si>
  <si>
    <t>18.01.2000</t>
  </si>
  <si>
    <t xml:space="preserve">Несдано книг : </t>
  </si>
  <si>
    <t>03.01.1900</t>
  </si>
  <si>
    <t>Список, взятых книг читателем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</si>
</sst>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4" x14ac:knownFonts="1">
    <font>
      <sz val="11"/>
      <color theme="1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5"/>
      <color theme="3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rgb="FF9C5700"/>
      <name val="Calibri"/>
      <family val="2"/>
      <charset val="204"/>
      <scheme val="minor"/>
    </font>
    <font>
      <b/>
      <sz val="11"/>
      <color theme="1"/>
      <name val="Arial Rounded MT Bold"/>
      <family val="2"/>
    </font>
    <font>
      <b/>
      <sz val="24"/>
      <color theme="1"/>
      <name val="Arial Rounded MT Bold"/>
      <family val="2"/>
    </font>
    <font>
      <b/>
      <sz val="14"/>
      <color theme="1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theme="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</fills>
  <borders count="44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theme="0" tint="-0.14996795556505021"/>
      </left>
      <right style="thick">
        <color theme="0" tint="-0.14996795556505021"/>
      </right>
      <top style="thick">
        <color theme="0" tint="-0.14996795556505021"/>
      </top>
      <bottom style="thick">
        <color theme="0" tint="-0.14996795556505021"/>
      </bottom>
      <diagonal/>
    </border>
    <border>
      <left style="thick">
        <color theme="0" tint="-0.14996795556505021"/>
      </left>
      <right/>
      <top style="thick">
        <color theme="0" tint="-0.14996795556505021"/>
      </top>
      <bottom style="thick">
        <color theme="0" tint="-0.14996795556505021"/>
      </bottom>
      <diagonal/>
    </border>
    <border>
      <left style="medium">
        <color theme="0" tint="-0.14999847407452621"/>
      </left>
      <right/>
      <top/>
      <bottom style="medium">
        <color theme="0" tint="-0.14999847407452621"/>
      </bottom>
      <diagonal/>
    </border>
    <border>
      <left style="thin">
        <color theme="1"/>
      </left>
      <right/>
      <top/>
      <bottom/>
      <diagonal/>
    </border>
    <border>
      <left/>
      <right/>
      <top style="thin">
        <color theme="0" tint="-0.14999847407452621"/>
      </top>
      <bottom/>
      <diagonal/>
    </border>
    <border>
      <left style="medium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 style="medium">
        <color theme="0" tint="-0.14999847407452621"/>
      </left>
      <right/>
      <top/>
      <bottom/>
      <diagonal/>
    </border>
    <border>
      <left style="thin">
        <color theme="0" tint="-0.14999847407452621"/>
      </left>
      <right/>
      <top/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</borders>
  <cellStyleXfs count="11">
    <xf numFmtId="0" fontId="0" fillId="0" borderId="0"/>
    <xf numFmtId="0" fontId="1" fillId="2" borderId="0" applyNumberFormat="0" applyBorder="0" applyAlignment="0" applyProtection="0"/>
    <xf numFmtId="0" fontId="2" fillId="3" borderId="1" applyNumberFormat="0" applyAlignment="0" applyProtection="0"/>
    <xf numFmtId="0" fontId="3" fillId="4" borderId="0" applyNumberFormat="0" applyBorder="0" applyAlignment="0" applyProtection="0"/>
    <xf numFmtId="0" fontId="6" fillId="0" borderId="11" applyNumberFormat="0" applyFill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3" fillId="8" borderId="0" applyNumberFormat="0" applyBorder="0" applyAlignment="0" applyProtection="0"/>
    <xf numFmtId="0" fontId="5" fillId="9" borderId="0" applyNumberFormat="0" applyBorder="0" applyAlignment="0" applyProtection="0"/>
    <xf numFmtId="0" fontId="9" fillId="11" borderId="0" applyNumberFormat="0" applyBorder="0" applyAlignment="0" applyProtection="0"/>
  </cellStyleXfs>
  <cellXfs count="86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Border="1"/>
    <xf numFmtId="14" fontId="0" fillId="0" borderId="0" xfId="0" applyNumberFormat="1" applyBorder="1"/>
    <xf numFmtId="0" fontId="0" fillId="0" borderId="0" xfId="0" applyNumberFormat="1" applyBorder="1"/>
    <xf numFmtId="0" fontId="0" fillId="0" borderId="0" xfId="0" applyAlignment="1">
      <alignment vertical="top"/>
    </xf>
    <xf numFmtId="0" fontId="5" fillId="9" borderId="18" xfId="9" applyBorder="1" applyAlignment="1">
      <alignment horizontal="center" vertical="top"/>
    </xf>
    <xf numFmtId="0" fontId="5" fillId="9" borderId="19" xfId="9" applyBorder="1" applyAlignment="1">
      <alignment horizontal="center" vertical="top"/>
    </xf>
    <xf numFmtId="0" fontId="5" fillId="9" borderId="12" xfId="9" applyBorder="1" applyAlignment="1">
      <alignment horizontal="center" vertical="top"/>
    </xf>
    <xf numFmtId="0" fontId="5" fillId="9" borderId="0" xfId="9" applyBorder="1" applyAlignment="1">
      <alignment horizontal="center" vertical="top"/>
    </xf>
    <xf numFmtId="0" fontId="5" fillId="9" borderId="13" xfId="9" applyBorder="1" applyAlignment="1">
      <alignment horizontal="center" vertical="top"/>
    </xf>
    <xf numFmtId="0" fontId="5" fillId="9" borderId="14" xfId="9" applyBorder="1" applyAlignment="1">
      <alignment horizontal="center" vertical="top"/>
    </xf>
    <xf numFmtId="0" fontId="5" fillId="9" borderId="15" xfId="9" applyBorder="1" applyAlignment="1">
      <alignment horizontal="center" vertical="top"/>
    </xf>
    <xf numFmtId="0" fontId="5" fillId="9" borderId="16" xfId="9" applyBorder="1" applyAlignment="1">
      <alignment horizontal="center" vertical="top"/>
    </xf>
    <xf numFmtId="0" fontId="5" fillId="9" borderId="17" xfId="9" applyBorder="1"/>
    <xf numFmtId="0" fontId="3" fillId="10" borderId="17" xfId="8" applyFill="1" applyBorder="1"/>
    <xf numFmtId="0" fontId="3" fillId="10" borderId="18" xfId="8" applyFill="1" applyBorder="1"/>
    <xf numFmtId="0" fontId="3" fillId="10" borderId="19" xfId="8" applyFill="1" applyBorder="1"/>
    <xf numFmtId="0" fontId="3" fillId="10" borderId="16" xfId="8" applyFill="1" applyBorder="1"/>
    <xf numFmtId="0" fontId="3" fillId="10" borderId="14" xfId="8" applyFill="1" applyBorder="1"/>
    <xf numFmtId="0" fontId="3" fillId="10" borderId="15" xfId="8" applyFill="1" applyBorder="1"/>
    <xf numFmtId="0" fontId="5" fillId="6" borderId="17" xfId="6" applyBorder="1"/>
    <xf numFmtId="0" fontId="5" fillId="6" borderId="18" xfId="6" applyBorder="1"/>
    <xf numFmtId="0" fontId="5" fillId="6" borderId="19" xfId="6" applyBorder="1"/>
    <xf numFmtId="0" fontId="5" fillId="6" borderId="14" xfId="6" applyBorder="1"/>
    <xf numFmtId="0" fontId="5" fillId="6" borderId="15" xfId="6" applyBorder="1"/>
    <xf numFmtId="0" fontId="5" fillId="6" borderId="16" xfId="6" applyBorder="1"/>
    <xf numFmtId="14" fontId="0" fillId="0" borderId="0" xfId="0" applyNumberForma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4" fontId="0" fillId="0" borderId="6" xfId="0" applyNumberFormat="1" applyBorder="1" applyAlignment="1">
      <alignment horizontal="center"/>
    </xf>
    <xf numFmtId="14" fontId="0" fillId="0" borderId="7" xfId="0" applyNumberFormat="1" applyBorder="1" applyAlignment="1">
      <alignment horizontal="center"/>
    </xf>
    <xf numFmtId="0" fontId="3" fillId="4" borderId="8" xfId="3" applyBorder="1" applyAlignment="1">
      <alignment horizontal="center" vertical="center"/>
    </xf>
    <xf numFmtId="0" fontId="1" fillId="2" borderId="8" xfId="1" applyBorder="1" applyAlignment="1">
      <alignment horizontal="center" vertical="center"/>
    </xf>
    <xf numFmtId="14" fontId="1" fillId="2" borderId="8" xfId="1" applyNumberFormat="1" applyBorder="1" applyAlignment="1">
      <alignment horizontal="center" vertical="center"/>
    </xf>
    <xf numFmtId="0" fontId="0" fillId="0" borderId="0" xfId="0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3" fillId="4" borderId="6" xfId="3" applyBorder="1" applyAlignment="1">
      <alignment horizontal="center" vertical="center"/>
    </xf>
    <xf numFmtId="14" fontId="1" fillId="2" borderId="6" xfId="1" applyNumberFormat="1" applyBorder="1" applyAlignment="1">
      <alignment horizontal="center" vertical="center"/>
    </xf>
    <xf numFmtId="0" fontId="0" fillId="12" borderId="8" xfId="0" applyFill="1" applyBorder="1"/>
    <xf numFmtId="0" fontId="0" fillId="12" borderId="8" xfId="0" applyFill="1" applyBorder="1" applyAlignment="1">
      <alignment vertical="center"/>
    </xf>
    <xf numFmtId="0" fontId="7" fillId="12" borderId="0" xfId="7" applyFont="1" applyFill="1" applyBorder="1" applyAlignment="1">
      <alignment horizontal="center"/>
    </xf>
    <xf numFmtId="0" fontId="0" fillId="12" borderId="0" xfId="9" applyFont="1" applyFill="1" applyBorder="1" applyAlignment="1">
      <alignment horizontal="center" vertical="center"/>
    </xf>
    <xf numFmtId="0" fontId="0" fillId="5" borderId="27" xfId="5" applyFont="1" applyBorder="1" applyAlignment="1">
      <alignment horizontal="center" vertical="center"/>
    </xf>
    <xf numFmtId="0" fontId="0" fillId="5" borderId="28" xfId="5" applyFont="1" applyBorder="1" applyAlignment="1">
      <alignment vertical="center"/>
    </xf>
    <xf numFmtId="14" fontId="0" fillId="0" borderId="0" xfId="0" applyNumberFormat="1"/>
    <xf numFmtId="0" fontId="10" fillId="9" borderId="29" xfId="9" applyFont="1" applyBorder="1" applyAlignment="1">
      <alignment vertical="center"/>
    </xf>
    <xf numFmtId="0" fontId="11" fillId="9" borderId="30" xfId="9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" fillId="13" borderId="32" xfId="0" applyFont="1" applyFill="1" applyBorder="1" applyAlignment="1">
      <alignment vertical="center"/>
    </xf>
    <xf numFmtId="14" fontId="0" fillId="0" borderId="0" xfId="0" applyNumberFormat="1" applyAlignment="1">
      <alignment horizontal="center" vertical="center" wrapText="1"/>
    </xf>
    <xf numFmtId="0" fontId="0" fillId="0" borderId="34" xfId="0" applyBorder="1"/>
    <xf numFmtId="0" fontId="0" fillId="0" borderId="35" xfId="0" applyBorder="1"/>
    <xf numFmtId="0" fontId="13" fillId="15" borderId="36" xfId="0" applyFont="1" applyFill="1" applyBorder="1" applyAlignment="1">
      <alignment horizontal="center" vertical="center" wrapText="1"/>
    </xf>
    <xf numFmtId="0" fontId="13" fillId="15" borderId="37" xfId="0" applyFont="1" applyFill="1" applyBorder="1" applyAlignment="1">
      <alignment horizontal="center" vertical="center" wrapText="1"/>
    </xf>
    <xf numFmtId="0" fontId="0" fillId="14" borderId="0" xfId="0" applyFill="1"/>
    <xf numFmtId="0" fontId="3" fillId="14" borderId="33" xfId="0" applyFont="1" applyFill="1" applyBorder="1" applyAlignment="1">
      <alignment vertical="center"/>
    </xf>
    <xf numFmtId="0" fontId="3" fillId="14" borderId="0" xfId="0" applyFont="1" applyFill="1" applyBorder="1" applyAlignment="1">
      <alignment vertical="center"/>
    </xf>
    <xf numFmtId="0" fontId="0" fillId="14" borderId="0" xfId="0" applyFill="1" applyBorder="1"/>
    <xf numFmtId="0" fontId="3" fillId="14" borderId="39" xfId="0" applyFont="1" applyFill="1" applyBorder="1" applyAlignment="1">
      <alignment vertical="center"/>
    </xf>
    <xf numFmtId="0" fontId="6" fillId="0" borderId="20" xfId="4" applyBorder="1" applyAlignment="1">
      <alignment horizontal="center"/>
    </xf>
    <xf numFmtId="0" fontId="6" fillId="0" borderId="21" xfId="4" applyBorder="1" applyAlignment="1">
      <alignment horizontal="center"/>
    </xf>
    <xf numFmtId="0" fontId="6" fillId="0" borderId="22" xfId="4" applyBorder="1" applyAlignment="1">
      <alignment horizontal="center"/>
    </xf>
    <xf numFmtId="0" fontId="4" fillId="3" borderId="9" xfId="2" applyFont="1" applyBorder="1" applyAlignment="1">
      <alignment horizontal="center" vertical="center"/>
    </xf>
    <xf numFmtId="0" fontId="4" fillId="3" borderId="10" xfId="2" applyFont="1" applyBorder="1" applyAlignment="1">
      <alignment horizontal="center" vertical="center"/>
    </xf>
    <xf numFmtId="0" fontId="9" fillId="11" borderId="0" xfId="10" applyAlignment="1">
      <alignment horizontal="center"/>
    </xf>
    <xf numFmtId="0" fontId="5" fillId="9" borderId="27" xfId="9" applyBorder="1" applyAlignment="1">
      <alignment horizontal="center"/>
    </xf>
    <xf numFmtId="0" fontId="5" fillId="9" borderId="25" xfId="9" applyBorder="1" applyAlignment="1">
      <alignment horizontal="center"/>
    </xf>
    <xf numFmtId="0" fontId="5" fillId="5" borderId="28" xfId="5" applyBorder="1" applyAlignment="1">
      <alignment horizontal="center" vertical="center"/>
    </xf>
    <xf numFmtId="0" fontId="5" fillId="5" borderId="26" xfId="5" applyBorder="1" applyAlignment="1">
      <alignment horizontal="center" vertical="center"/>
    </xf>
    <xf numFmtId="0" fontId="5" fillId="12" borderId="0" xfId="9" applyFill="1" applyBorder="1" applyAlignment="1">
      <alignment horizontal="center" vertical="center"/>
    </xf>
    <xf numFmtId="0" fontId="7" fillId="7" borderId="23" xfId="7" applyFont="1" applyBorder="1" applyAlignment="1">
      <alignment horizontal="center"/>
    </xf>
    <xf numFmtId="0" fontId="7" fillId="7" borderId="24" xfId="7" applyFont="1" applyBorder="1" applyAlignment="1">
      <alignment horizontal="center"/>
    </xf>
    <xf numFmtId="0" fontId="3" fillId="13" borderId="31" xfId="0" applyFont="1" applyFill="1" applyBorder="1" applyAlignment="1">
      <alignment horizontal="center" vertical="center"/>
    </xf>
    <xf numFmtId="0" fontId="3" fillId="14" borderId="40" xfId="0" applyFont="1" applyFill="1" applyBorder="1" applyAlignment="1">
      <alignment horizontal="center" vertical="center"/>
    </xf>
    <xf numFmtId="0" fontId="3" fillId="14" borderId="38" xfId="0" applyFont="1" applyFill="1" applyBorder="1" applyAlignment="1">
      <alignment horizontal="center" vertical="center"/>
    </xf>
    <xf numFmtId="0" fontId="12" fillId="14" borderId="0" xfId="0" applyFont="1" applyFill="1" applyAlignment="1">
      <alignment horizontal="center" vertical="center"/>
    </xf>
    <xf numFmtId="0" fontId="12" fillId="14" borderId="41" xfId="0" applyFont="1" applyFill="1" applyBorder="1" applyAlignment="1">
      <alignment horizontal="center" vertical="center"/>
    </xf>
    <xf numFmtId="0" fontId="12" fillId="14" borderId="42" xfId="0" applyFont="1" applyFill="1" applyBorder="1" applyAlignment="1">
      <alignment horizontal="center" vertical="center"/>
    </xf>
    <xf numFmtId="0" fontId="12" fillId="14" borderId="43" xfId="0" applyFont="1" applyFill="1" applyBorder="1" applyAlignment="1">
      <alignment horizontal="center" vertical="center"/>
    </xf>
  </cellXfs>
  <cellStyles count="11">
    <cellStyle name="40% — акцент4" xfId="5" builtinId="43"/>
    <cellStyle name="40% — акцент5" xfId="7" builtinId="47"/>
    <cellStyle name="40% — акцент6" xfId="9" builtinId="51"/>
    <cellStyle name="60% — акцент4" xfId="6" builtinId="44"/>
    <cellStyle name="Акцент2" xfId="3" builtinId="33"/>
    <cellStyle name="Акцент6" xfId="8" builtinId="49"/>
    <cellStyle name="Заголовок 1" xfId="4" builtinId="16"/>
    <cellStyle name="Контрольная ячейка" xfId="2" builtinId="23"/>
    <cellStyle name="Нейтральный" xfId="10" builtinId="28"/>
    <cellStyle name="Обычный" xfId="0" builtinId="0"/>
    <cellStyle name="Хороший" xfId="1" builtinId="26"/>
  </cellStyles>
  <dxfs count="21">
    <dxf>
      <alignment horizontal="center" vertical="center" textRotation="0" wrapText="1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numFmt numFmtId="19" formatCode="d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64" formatCode="dd/mm/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152400</xdr:colOff>
          <xdr:row>1</xdr:row>
          <xdr:rowOff>28575</xdr:rowOff>
        </xdr:from>
        <xdr:to>
          <xdr:col>13</xdr:col>
          <xdr:colOff>409575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книгу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161925</xdr:colOff>
          <xdr:row>3</xdr:row>
          <xdr:rowOff>66675</xdr:rowOff>
        </xdr:from>
        <xdr:to>
          <xdr:col>13</xdr:col>
          <xdr:colOff>419100</xdr:colOff>
          <xdr:row>4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ПОИСК И РЕДАКТИРОВАНИЕ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1</xdr:row>
          <xdr:rowOff>19050</xdr:rowOff>
        </xdr:from>
        <xdr:to>
          <xdr:col>9</xdr:col>
          <xdr:colOff>400050</xdr:colOff>
          <xdr:row>3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читателя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552450</xdr:colOff>
          <xdr:row>1</xdr:row>
          <xdr:rowOff>9525</xdr:rowOff>
        </xdr:from>
        <xdr:to>
          <xdr:col>11</xdr:col>
          <xdr:colOff>542925</xdr:colOff>
          <xdr:row>3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ПОИСК И РЕДАКТИРОВАНИЕ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0</xdr:row>
          <xdr:rowOff>19050</xdr:rowOff>
        </xdr:from>
        <xdr:to>
          <xdr:col>4</xdr:col>
          <xdr:colOff>28575</xdr:colOff>
          <xdr:row>4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новую запись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</xdr:row>
          <xdr:rowOff>38100</xdr:rowOff>
        </xdr:from>
        <xdr:to>
          <xdr:col>3</xdr:col>
          <xdr:colOff>1171575</xdr:colOff>
          <xdr:row>3</xdr:row>
          <xdr:rowOff>133350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2</xdr:row>
          <xdr:rowOff>47625</xdr:rowOff>
        </xdr:from>
        <xdr:to>
          <xdr:col>4</xdr:col>
          <xdr:colOff>2228850</xdr:colOff>
          <xdr:row>3</xdr:row>
          <xdr:rowOff>104775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таблицу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1</xdr:row>
          <xdr:rowOff>19050</xdr:rowOff>
        </xdr:from>
        <xdr:to>
          <xdr:col>4</xdr:col>
          <xdr:colOff>1047750</xdr:colOff>
          <xdr:row>3</xdr:row>
          <xdr:rowOff>9525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Показать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0</xdr:colOff>
          <xdr:row>3</xdr:row>
          <xdr:rowOff>9525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731663E-7E19-4EAB-8301-D308EBEFE692}" name="booksTb" displayName="booksTb" ref="A1:D5" totalsRowShown="0">
  <autoFilter ref="A1:D5" xr:uid="{8F953CF3-BD23-4109-AF04-F79152E49B06}">
    <filterColumn colId="0" hiddenButton="1"/>
    <filterColumn colId="1" hiddenButton="1"/>
    <filterColumn colId="2" hiddenButton="1"/>
    <filterColumn colId="3" hiddenButton="1"/>
  </autoFilter>
  <tableColumns count="4">
    <tableColumn id="1" xr3:uid="{C8B55FFF-3275-45F6-BF4F-0A06B7A5BCC7}" name="Автор" dataDxfId="20"/>
    <tableColumn id="2" xr3:uid="{61BEFFFC-2E8F-4F93-A151-A44CF4AFB65B}" name="Название" dataDxfId="19"/>
    <tableColumn id="3" xr3:uid="{89FD6D68-5315-4ECE-B040-35965790C7EB}" name="ДатаИзадния" dataDxfId="18"/>
    <tableColumn id="4" xr3:uid="{79511238-A1F3-4805-82AD-63AC5E0D37C7}" name="№паспортаКниги" dataDxfId="17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E0D707A-9F2E-40B3-A155-A907611E7CE4}" name="readersTable" displayName="readersTable" ref="A1:F6" totalsRowShown="0" headerRowDxfId="16" dataDxfId="15">
  <autoFilter ref="A1:F6" xr:uid="{F541CB14-6D2B-4163-A5D1-DEB51BA3A13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D353FFF9-0521-447B-A414-1D53F4354745}" name="Номер паспорта" dataDxfId="14"/>
    <tableColumn id="2" xr3:uid="{91D69A8C-B960-4856-AEC8-83E4029A39F5}" name="ФИО" dataDxfId="13"/>
    <tableColumn id="3" xr3:uid="{B30674F4-E48E-4496-9B39-EC6C57FF8F97}" name="Адрес проживания" dataDxfId="12"/>
    <tableColumn id="4" xr3:uid="{AD0347AA-FEEA-416E-A3CF-3AB163C6BE7E}" name="Дата рождения" dataDxfId="11"/>
    <tableColumn id="5" xr3:uid="{113B737E-28DC-42CD-B4E7-E33020DB84A1}" name="Утеряно книг" dataDxfId="10"/>
    <tableColumn id="6" xr3:uid="{98872A48-A6C7-4689-BF56-1356B4FC5CAA}" name="Номер телефона" dataDxfId="9"/>
  </tableColumns>
  <tableStyleInfo name="TableStyleDark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BCB95D-1748-4E55-BCF6-869983922CA3}" name="outPut" displayName="outPut" ref="A13:E30" totalsRowShown="0" headerRowDxfId="8" dataDxfId="6" headerRowBorderDxfId="7">
  <autoFilter ref="A13:E30" xr:uid="{B7AF4C89-E486-4093-BC1B-631A92A705D3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5ACC8A0D-83A7-4526-B68B-0D9257F90371}" name="№" dataDxfId="5">
      <calculatedColumnFormula>IF(ISBLANK(B14),"",COUNTA($B$14:B14))</calculatedColumnFormula>
    </tableColumn>
    <tableColumn id="2" xr3:uid="{A28C03B7-C2F2-41D3-91E1-B155FE0CAFF2}" name="Название Книги" dataDxfId="4"/>
    <tableColumn id="3" xr3:uid="{0EE26233-0CAE-4800-8DEE-C9FE727D13B5}" name="ФИО Читателя" dataDxfId="3"/>
    <tableColumn id="4" xr3:uid="{1F53C2AC-20BC-406F-87FA-2A3862FD92A4}" name="Дата Выдачи" dataDxfId="2"/>
    <tableColumn id="5" xr3:uid="{0CE6E335-F886-4AE4-B0FF-390FA6609F94}" name="Дата Возврата" dataDxfId="1"/>
  </tableColumns>
  <tableStyleInfo name="TableStyleDark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6ADE89F-B95B-4E29-B566-23D2D8FD5E21}" name="itogTbl" displayName="itogTbl" ref="A6:H22" totalsRowShown="0">
  <autoFilter ref="A6:H22" xr:uid="{6DC75692-1EA4-48FD-9EE7-F7E2732D42B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6486219A-E16C-4601-A488-C560FD8FD240}" name="Паспорт книги"/>
    <tableColumn id="2" xr3:uid="{08BD8AAE-50F8-4F0D-A4B6-CDCBB5886EC0}" name="Автор"/>
    <tableColumn id="3" xr3:uid="{1F3436B1-F787-401A-BD3F-8FB4A430DFF8}" name="Название"/>
    <tableColumn id="4" xr3:uid="{4BB1C833-8CFA-4E71-8C64-762718486D39}" name="ФИО читателя"/>
    <tableColumn id="5" xr3:uid="{7516B994-ACBF-465F-B7C3-D7A6BA513849}" name="Адрес проживания"/>
    <tableColumn id="6" xr3:uid="{785C709D-FD35-49CE-A7D6-E2324B9FBA44}" name="Номер телефона"/>
    <tableColumn id="7" xr3:uid="{2D154FDB-69F0-49F4-AE2D-0EE07462F037}" name=" Дата выдачи"/>
    <tableColumn id="8" xr3:uid="{93A3DD06-B110-4DBD-A362-4E8ED1EA1CA4}" name="Дата Возврата"/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DC51338-3E5A-4979-AAD4-B1CAC6986985}" name="bookListIt" displayName="bookListIt" ref="A7:E8" insertRow="1" totalsRowShown="0" headerRowDxfId="0">
  <autoFilter ref="A7:E8" xr:uid="{9E5EBECA-8C13-4302-ACE8-344D1DECC651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737B3EEA-1734-4EF1-BB38-E7C1C3045C16}" name="Паспорт книги"/>
    <tableColumn id="2" xr3:uid="{FEE56666-32A1-47B9-8E29-F5A3096703E4}" name="Автор"/>
    <tableColumn id="3" xr3:uid="{E34E16D4-0D52-4F8A-8531-88158F6E74E3}" name="Название"/>
    <tableColumn id="4" xr3:uid="{4B16F1A8-F5DE-4645-8290-8A06C1164D2C}" name="Дата выдачи"/>
    <tableColumn id="5" xr3:uid="{C6F3475A-F159-435D-9486-7F5287095FCB}" name="03.01.1900"/>
  </tableColumns>
  <tableStyleInfo name="TableStyleDark8" showFirstColumn="0" showLastColumn="0" showRowStripes="0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table" Target="../tables/table5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kList"/>
  <dimension ref="A1:N5"/>
  <sheetViews>
    <sheetView workbookViewId="0">
      <selection activeCell="M5" sqref="M5"/>
    </sheetView>
  </sheetViews>
  <sheetFormatPr defaultRowHeight="15" x14ac:dyDescent="0.25"/>
  <cols>
    <col min="1" max="1" width="14" bestFit="1" customWidth="1"/>
    <col min="2" max="2" width="16.140625" bestFit="1" customWidth="1"/>
    <col min="3" max="3" width="15.140625" customWidth="1"/>
    <col min="4" max="4" width="18.85546875" customWidth="1"/>
  </cols>
  <sheetData>
    <row r="1" spans="1:14" ht="20.25" thickBot="1" x14ac:dyDescent="0.35">
      <c r="A1" s="1" t="s">
        <v>1</v>
      </c>
      <c r="B1" s="1" t="s">
        <v>2</v>
      </c>
      <c r="C1" s="2" t="s">
        <v>3</v>
      </c>
      <c r="D1" s="3" t="s">
        <v>4</v>
      </c>
      <c r="K1" s="66" t="s">
        <v>27</v>
      </c>
      <c r="L1" s="67"/>
      <c r="M1" s="67"/>
      <c r="N1" s="68"/>
    </row>
    <row r="2" spans="1:14" x14ac:dyDescent="0.25">
      <c r="A2" s="1" t="s">
        <v>5</v>
      </c>
      <c r="B2" s="1" t="s">
        <v>6</v>
      </c>
      <c r="C2" s="2">
        <v>29560</v>
      </c>
      <c r="D2" s="3">
        <v>123456</v>
      </c>
      <c r="K2" s="24"/>
      <c r="L2" s="25"/>
      <c r="M2" s="25"/>
      <c r="N2" s="26"/>
    </row>
    <row r="3" spans="1:14" ht="15.75" thickBot="1" x14ac:dyDescent="0.3">
      <c r="A3" s="1" t="s">
        <v>5</v>
      </c>
      <c r="B3" s="1" t="s">
        <v>7</v>
      </c>
      <c r="C3" s="2">
        <v>41193</v>
      </c>
      <c r="D3" s="3">
        <v>234124</v>
      </c>
      <c r="K3" s="27"/>
      <c r="L3" s="28"/>
      <c r="M3" s="28"/>
      <c r="N3" s="29"/>
    </row>
    <row r="4" spans="1:14" x14ac:dyDescent="0.25">
      <c r="A4" s="1" t="s">
        <v>8</v>
      </c>
      <c r="B4" s="1" t="s">
        <v>9</v>
      </c>
      <c r="C4" s="2" t="s">
        <v>24</v>
      </c>
      <c r="D4" s="3">
        <v>540322</v>
      </c>
      <c r="K4" s="18"/>
      <c r="L4" s="19"/>
      <c r="M4" s="19"/>
      <c r="N4" s="20"/>
    </row>
    <row r="5" spans="1:14" ht="15.75" thickBot="1" x14ac:dyDescent="0.3">
      <c r="A5" s="1" t="s">
        <v>25</v>
      </c>
      <c r="B5" s="1" t="s">
        <v>26</v>
      </c>
      <c r="C5" s="2">
        <v>40238</v>
      </c>
      <c r="D5" s="3">
        <v>123456</v>
      </c>
      <c r="K5" s="22"/>
      <c r="L5" s="23"/>
      <c r="M5" s="23"/>
      <c r="N5" s="21"/>
    </row>
  </sheetData>
  <mergeCells count="1">
    <mergeCell ref="K1:N1"/>
  </mergeCell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Form1">
                <anchor moveWithCells="1" sizeWithCells="1">
                  <from>
                    <xdr:col>10</xdr:col>
                    <xdr:colOff>152400</xdr:colOff>
                    <xdr:row>1</xdr:row>
                    <xdr:rowOff>28575</xdr:rowOff>
                  </from>
                  <to>
                    <xdr:col>13</xdr:col>
                    <xdr:colOff>409575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orm2">
                <anchor moveWithCells="1" sizeWithCells="1">
                  <from>
                    <xdr:col>10</xdr:col>
                    <xdr:colOff>161925</xdr:colOff>
                    <xdr:row>3</xdr:row>
                    <xdr:rowOff>66675</xdr:rowOff>
                  </from>
                  <to>
                    <xdr:col>13</xdr:col>
                    <xdr:colOff>419100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rdList"/>
  <dimension ref="A1:L6"/>
  <sheetViews>
    <sheetView tabSelected="1" workbookViewId="0">
      <selection activeCell="B2" sqref="B2"/>
    </sheetView>
  </sheetViews>
  <sheetFormatPr defaultRowHeight="15" x14ac:dyDescent="0.25"/>
  <cols>
    <col min="1" max="1" width="18" customWidth="1"/>
    <col min="2" max="2" width="13.85546875" bestFit="1" customWidth="1"/>
    <col min="3" max="3" width="22" bestFit="1" customWidth="1"/>
    <col min="4" max="4" width="17.140625" customWidth="1"/>
    <col min="5" max="5" width="15.140625" customWidth="1"/>
    <col min="6" max="6" width="18.5703125" customWidth="1"/>
  </cols>
  <sheetData>
    <row r="1" spans="1:12" x14ac:dyDescent="0.25">
      <c r="A1" s="1" t="s">
        <v>10</v>
      </c>
      <c r="B1" s="1" t="s">
        <v>11</v>
      </c>
      <c r="C1" s="1" t="s">
        <v>12</v>
      </c>
      <c r="D1" s="2" t="s">
        <v>13</v>
      </c>
      <c r="E1" s="1" t="s">
        <v>14</v>
      </c>
      <c r="F1" s="1" t="s">
        <v>15</v>
      </c>
      <c r="I1" s="17"/>
      <c r="J1" s="9" t="s">
        <v>27</v>
      </c>
      <c r="K1" s="9"/>
      <c r="L1" s="10"/>
    </row>
    <row r="2" spans="1:12" x14ac:dyDescent="0.25">
      <c r="A2" s="1">
        <v>146523</v>
      </c>
      <c r="B2" s="4" t="s">
        <v>42</v>
      </c>
      <c r="C2" s="4" t="s">
        <v>28</v>
      </c>
      <c r="D2" s="30">
        <v>34745</v>
      </c>
      <c r="E2" s="1">
        <v>0</v>
      </c>
      <c r="F2" s="1">
        <v>89444444444</v>
      </c>
      <c r="I2" s="11"/>
      <c r="J2" s="12"/>
      <c r="K2" s="12"/>
      <c r="L2" s="13"/>
    </row>
    <row r="3" spans="1:12" x14ac:dyDescent="0.25">
      <c r="A3" s="1">
        <v>423745</v>
      </c>
      <c r="B3" s="4" t="s">
        <v>35</v>
      </c>
      <c r="C3" s="4" t="s">
        <v>29</v>
      </c>
      <c r="D3" s="1" t="s">
        <v>30</v>
      </c>
      <c r="E3" s="1">
        <v>1</v>
      </c>
      <c r="F3" s="1">
        <v>21523</v>
      </c>
      <c r="I3" s="11"/>
      <c r="J3" s="12"/>
      <c r="K3" s="12"/>
      <c r="L3" s="13"/>
    </row>
    <row r="4" spans="1:12" ht="15.75" thickBot="1" x14ac:dyDescent="0.3">
      <c r="A4" s="1">
        <v>215452</v>
      </c>
      <c r="B4" s="4" t="s">
        <v>31</v>
      </c>
      <c r="C4" s="4" t="s">
        <v>32</v>
      </c>
      <c r="D4" s="1" t="s">
        <v>33</v>
      </c>
      <c r="E4" s="1">
        <v>0</v>
      </c>
      <c r="F4" s="1">
        <v>89111111111</v>
      </c>
      <c r="I4" s="14"/>
      <c r="J4" s="15"/>
      <c r="K4" s="15"/>
      <c r="L4" s="16"/>
    </row>
    <row r="5" spans="1:12" x14ac:dyDescent="0.25">
      <c r="A5" s="1">
        <v>214632</v>
      </c>
      <c r="B5" s="4" t="s">
        <v>34</v>
      </c>
      <c r="C5" s="4" t="s">
        <v>12</v>
      </c>
      <c r="D5" s="1" t="s">
        <v>36</v>
      </c>
      <c r="E5" s="1">
        <v>0</v>
      </c>
      <c r="F5" s="1">
        <v>99999</v>
      </c>
    </row>
    <row r="6" spans="1:12" x14ac:dyDescent="0.25">
      <c r="A6" s="1">
        <v>489885</v>
      </c>
      <c r="B6" s="4" t="s">
        <v>45</v>
      </c>
      <c r="C6" s="4" t="s">
        <v>46</v>
      </c>
      <c r="D6" s="1" t="s">
        <v>47</v>
      </c>
      <c r="E6" s="1">
        <v>0</v>
      </c>
      <c r="F6" s="1">
        <v>89068495575</v>
      </c>
      <c r="J6" s="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OpenAddRForm">
                <anchor moveWithCells="1" sizeWithCells="1">
                  <from>
                    <xdr:col>8</xdr:col>
                    <xdr:colOff>66675</xdr:colOff>
                    <xdr:row>1</xdr:row>
                    <xdr:rowOff>19050</xdr:rowOff>
                  </from>
                  <to>
                    <xdr:col>9</xdr:col>
                    <xdr:colOff>400050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openSearchRFrom">
                <anchor moveWithCells="1" sizeWithCells="1">
                  <from>
                    <xdr:col>9</xdr:col>
                    <xdr:colOff>552450</xdr:colOff>
                    <xdr:row>1</xdr:row>
                    <xdr:rowOff>9525</xdr:rowOff>
                  </from>
                  <to>
                    <xdr:col>11</xdr:col>
                    <xdr:colOff>542925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oList"/>
  <dimension ref="A1:E30"/>
  <sheetViews>
    <sheetView workbookViewId="0">
      <selection activeCell="D27" sqref="D27"/>
    </sheetView>
  </sheetViews>
  <sheetFormatPr defaultRowHeight="15" x14ac:dyDescent="0.25"/>
  <cols>
    <col min="1" max="1" width="14" bestFit="1" customWidth="1"/>
    <col min="2" max="2" width="25.5703125" customWidth="1"/>
    <col min="3" max="3" width="16.140625" customWidth="1"/>
    <col min="4" max="4" width="14.7109375" customWidth="1"/>
    <col min="5" max="5" width="16" customWidth="1"/>
    <col min="7" max="7" width="9.28515625" customWidth="1"/>
    <col min="8" max="8" width="16.5703125" customWidth="1"/>
    <col min="9" max="9" width="22.85546875" customWidth="1"/>
  </cols>
  <sheetData>
    <row r="1" spans="1:5" ht="22.5" thickTop="1" thickBot="1" x14ac:dyDescent="0.3">
      <c r="A1" s="69" t="s">
        <v>20</v>
      </c>
      <c r="B1" s="70"/>
      <c r="C1" s="71"/>
      <c r="D1" s="71"/>
    </row>
    <row r="2" spans="1:5" ht="15.75" thickTop="1" x14ac:dyDescent="0.25">
      <c r="A2" s="38" t="s">
        <v>2</v>
      </c>
      <c r="B2" s="39"/>
      <c r="C2" s="71"/>
      <c r="D2" s="71"/>
    </row>
    <row r="3" spans="1:5" x14ac:dyDescent="0.25">
      <c r="A3" s="38" t="s">
        <v>21</v>
      </c>
      <c r="B3" s="39"/>
      <c r="C3" s="71"/>
      <c r="D3" s="71"/>
    </row>
    <row r="4" spans="1:5" x14ac:dyDescent="0.25">
      <c r="A4" s="38" t="s">
        <v>22</v>
      </c>
      <c r="B4" s="40"/>
      <c r="C4" s="71"/>
      <c r="D4" s="71"/>
    </row>
    <row r="5" spans="1:5" x14ac:dyDescent="0.25">
      <c r="A5" s="43" t="s">
        <v>23</v>
      </c>
      <c r="B5" s="44"/>
      <c r="C5" s="71"/>
      <c r="D5" s="71"/>
    </row>
    <row r="6" spans="1:5" x14ac:dyDescent="0.25">
      <c r="A6" s="46"/>
      <c r="B6" s="45"/>
      <c r="C6" s="45"/>
      <c r="D6" s="45"/>
    </row>
    <row r="7" spans="1:5" x14ac:dyDescent="0.25">
      <c r="A7" s="46"/>
      <c r="B7" s="45"/>
      <c r="C7" s="45"/>
      <c r="D7" s="45"/>
    </row>
    <row r="10" spans="1:5" x14ac:dyDescent="0.25">
      <c r="A10" s="41"/>
      <c r="B10" s="41"/>
      <c r="C10" s="41"/>
      <c r="D10" s="42"/>
      <c r="E10" s="42"/>
    </row>
    <row r="11" spans="1:5" x14ac:dyDescent="0.25">
      <c r="A11" s="7"/>
      <c r="B11" s="5"/>
      <c r="C11" s="5"/>
      <c r="D11" s="6"/>
      <c r="E11" s="6"/>
    </row>
    <row r="13" spans="1:5" x14ac:dyDescent="0.25">
      <c r="A13" s="31" t="s">
        <v>0</v>
      </c>
      <c r="B13" s="32" t="s">
        <v>16</v>
      </c>
      <c r="C13" s="32" t="s">
        <v>17</v>
      </c>
      <c r="D13" s="32" t="s">
        <v>18</v>
      </c>
      <c r="E13" s="33" t="s">
        <v>19</v>
      </c>
    </row>
    <row r="14" spans="1:5" x14ac:dyDescent="0.25">
      <c r="A14" s="34">
        <f>IF(ISBLANK(B14),"",COUNTA($B$14:B14))</f>
        <v>1</v>
      </c>
      <c r="B14" s="35" t="s">
        <v>9</v>
      </c>
      <c r="C14" s="35" t="s">
        <v>35</v>
      </c>
      <c r="D14" s="36">
        <v>40643</v>
      </c>
      <c r="E14" s="37">
        <v>40647</v>
      </c>
    </row>
    <row r="15" spans="1:5" x14ac:dyDescent="0.25">
      <c r="A15" s="34">
        <f>IF(ISBLANK(B15),"",COUNTA($B$14:B15))</f>
        <v>2</v>
      </c>
      <c r="B15" s="35" t="s">
        <v>9</v>
      </c>
      <c r="C15" s="35" t="s">
        <v>35</v>
      </c>
      <c r="D15" s="36">
        <v>42050</v>
      </c>
      <c r="E15" s="37">
        <v>42416</v>
      </c>
    </row>
    <row r="16" spans="1:5" x14ac:dyDescent="0.25">
      <c r="A16" s="34">
        <f>IF(ISBLANK(B16),"",COUNTA($B$14:B16))</f>
        <v>3</v>
      </c>
      <c r="B16" s="35" t="s">
        <v>6</v>
      </c>
      <c r="C16" s="35" t="s">
        <v>31</v>
      </c>
      <c r="D16" s="36">
        <v>43175</v>
      </c>
      <c r="E16" s="37"/>
    </row>
    <row r="17" spans="1:5" x14ac:dyDescent="0.25">
      <c r="A17" s="34">
        <f>IF(ISBLANK(B17),"",COUNTA($B$14:B17))</f>
        <v>4</v>
      </c>
      <c r="B17" s="35" t="s">
        <v>6</v>
      </c>
      <c r="C17" s="35" t="s">
        <v>34</v>
      </c>
      <c r="D17" s="36">
        <v>43174</v>
      </c>
      <c r="E17" s="37"/>
    </row>
    <row r="18" spans="1:5" x14ac:dyDescent="0.25">
      <c r="A18" s="34">
        <f>IF(ISBLANK(B18),"",COUNTA($B$14:B18))</f>
        <v>5</v>
      </c>
      <c r="B18" s="35" t="s">
        <v>7</v>
      </c>
      <c r="C18" s="35" t="s">
        <v>34</v>
      </c>
      <c r="D18" s="36">
        <v>42050</v>
      </c>
      <c r="E18" s="37"/>
    </row>
    <row r="19" spans="1:5" x14ac:dyDescent="0.25">
      <c r="A19" s="34">
        <f>IF(ISBLANK(B19),"",COUNTA($B$14:B19))</f>
        <v>6</v>
      </c>
      <c r="B19" s="35" t="s">
        <v>6</v>
      </c>
      <c r="C19" s="35" t="s">
        <v>31</v>
      </c>
      <c r="D19" s="36">
        <v>43439</v>
      </c>
      <c r="E19" s="37"/>
    </row>
    <row r="20" spans="1:5" x14ac:dyDescent="0.25">
      <c r="A20" s="34">
        <f>IF(ISBLANK(B20),"",COUNTA($B$14:B20))</f>
        <v>7</v>
      </c>
      <c r="B20" s="35" t="s">
        <v>6</v>
      </c>
      <c r="C20" s="35" t="s">
        <v>42</v>
      </c>
      <c r="D20" s="36">
        <v>42748</v>
      </c>
      <c r="E20" s="37"/>
    </row>
    <row r="21" spans="1:5" x14ac:dyDescent="0.25">
      <c r="A21" s="34">
        <f>IF(ISBLANK(B21),"",COUNTA($B$14:B21))</f>
        <v>8</v>
      </c>
      <c r="B21" s="35" t="s">
        <v>7</v>
      </c>
      <c r="C21" s="35" t="s">
        <v>34</v>
      </c>
      <c r="D21" s="36">
        <v>43804</v>
      </c>
      <c r="E21" s="37"/>
    </row>
    <row r="22" spans="1:5" x14ac:dyDescent="0.25">
      <c r="A22" s="34">
        <f>IF(ISBLANK(B22),"",COUNTA($B$14:B22))</f>
        <v>9</v>
      </c>
      <c r="B22" s="35" t="s">
        <v>6</v>
      </c>
      <c r="C22" s="35" t="s">
        <v>42</v>
      </c>
      <c r="D22" s="36">
        <v>43146</v>
      </c>
      <c r="E22" s="37">
        <v>43147</v>
      </c>
    </row>
    <row r="23" spans="1:5" x14ac:dyDescent="0.25">
      <c r="A23" s="34">
        <f>IF(ISBLANK(B23),"",COUNTA($B$14:B23))</f>
        <v>10</v>
      </c>
      <c r="B23" s="35" t="s">
        <v>26</v>
      </c>
      <c r="C23" s="35" t="s">
        <v>35</v>
      </c>
      <c r="D23" s="36">
        <v>43174</v>
      </c>
      <c r="E23" s="37">
        <v>43542</v>
      </c>
    </row>
    <row r="24" spans="1:5" x14ac:dyDescent="0.25">
      <c r="A24" s="34">
        <f>IF(ISBLANK(B24),"",COUNTA($B$14:B24))</f>
        <v>11</v>
      </c>
      <c r="B24" s="35" t="s">
        <v>6</v>
      </c>
      <c r="C24" s="35" t="s">
        <v>34</v>
      </c>
      <c r="D24" s="36">
        <v>43600</v>
      </c>
      <c r="E24" s="37"/>
    </row>
    <row r="25" spans="1:5" x14ac:dyDescent="0.25">
      <c r="A25" s="34">
        <f>IF(ISBLANK(B25),"",COUNTA($B$14:B25))</f>
        <v>12</v>
      </c>
      <c r="B25" s="35" t="s">
        <v>6</v>
      </c>
      <c r="C25" s="35" t="s">
        <v>34</v>
      </c>
      <c r="D25" s="36">
        <v>43146</v>
      </c>
      <c r="E25" s="37"/>
    </row>
    <row r="26" spans="1:5" x14ac:dyDescent="0.25">
      <c r="A26" s="34">
        <f>IF(ISBLANK(B26),"",COUNTA($B$14:B26))</f>
        <v>13</v>
      </c>
      <c r="B26" s="35" t="s">
        <v>9</v>
      </c>
      <c r="C26" s="35" t="s">
        <v>31</v>
      </c>
      <c r="D26" s="36">
        <v>43511</v>
      </c>
      <c r="E26" s="37"/>
    </row>
    <row r="27" spans="1:5" x14ac:dyDescent="0.25">
      <c r="A27" s="34">
        <f>IF(ISBLANK(B27),"",COUNTA($B$14:B27))</f>
        <v>14</v>
      </c>
      <c r="B27" s="35" t="s">
        <v>7</v>
      </c>
      <c r="C27" s="35" t="s">
        <v>31</v>
      </c>
      <c r="D27" s="36">
        <v>43449</v>
      </c>
      <c r="E27" s="37">
        <v>43483</v>
      </c>
    </row>
    <row r="28" spans="1:5" x14ac:dyDescent="0.25">
      <c r="A28" s="34">
        <f>IF(ISBLANK(B28),"",COUNTA($B$14:B28))</f>
        <v>15</v>
      </c>
      <c r="B28" s="35" t="s">
        <v>6</v>
      </c>
      <c r="C28" s="35" t="s">
        <v>35</v>
      </c>
      <c r="D28" s="36">
        <v>43146</v>
      </c>
      <c r="E28" s="37"/>
    </row>
    <row r="29" spans="1:5" x14ac:dyDescent="0.25">
      <c r="A29" s="34">
        <f>IF(ISBLANK(B29),"",COUNTA($B$14:B29))</f>
        <v>16</v>
      </c>
      <c r="B29" s="35" t="s">
        <v>7</v>
      </c>
      <c r="C29" s="35" t="s">
        <v>42</v>
      </c>
      <c r="D29" s="36">
        <v>43524</v>
      </c>
      <c r="E29" s="37"/>
    </row>
    <row r="30" spans="1:5" x14ac:dyDescent="0.25">
      <c r="A30" s="34">
        <f>IF(ISBLANK(B30),"",COUNTA($B$14:B30))</f>
        <v>17</v>
      </c>
      <c r="B30" s="35" t="s">
        <v>9</v>
      </c>
      <c r="C30" s="35" t="s">
        <v>31</v>
      </c>
      <c r="D30" s="36">
        <v>43524</v>
      </c>
      <c r="E30" s="37"/>
    </row>
  </sheetData>
  <mergeCells count="2">
    <mergeCell ref="A1:B1"/>
    <mergeCell ref="C1:D5"/>
  </mergeCells>
  <dataValidations count="1">
    <dataValidation type="date" operator="greaterThanOrEqual" allowBlank="1" showInputMessage="1" showErrorMessage="1" errorTitle="ОШИБКА" error="НЕЛЬЗЯ СДАТЬ КНИГУ РАНЬШЕ, ЧЕМ ВЗЯТЬ" promptTitle="Дата возврата" prompt="Дата возврата должна быть равна или больше Даты выдачи" sqref="B5" xr:uid="{93AA0F3F-7E48-4D99-BD08-E286A5429436}">
      <formula1>$B$4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AddNewOutPut">
                <anchor moveWithCells="1" sizeWithCells="1">
                  <from>
                    <xdr:col>2</xdr:col>
                    <xdr:colOff>66675</xdr:colOff>
                    <xdr:row>0</xdr:row>
                    <xdr:rowOff>19050</xdr:rowOff>
                  </from>
                  <to>
                    <xdr:col>4</xdr:col>
                    <xdr:colOff>28575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Title="Название" prompt="Выберите название из списка" xr:uid="{3276B249-712E-4E44-A469-B222B8EAB319}">
          <x14:formula1>
            <xm:f>Книги!$B:$B</xm:f>
          </x14:formula1>
          <xm:sqref>B2</xm:sqref>
        </x14:dataValidation>
        <x14:dataValidation type="list" allowBlank="1" showInputMessage="1" showErrorMessage="1" promptTitle="ФИО" prompt="Выбирете читателя из списка" xr:uid="{D4F3D97B-BA39-495D-801A-2103FB6B6912}">
          <x14:formula1>
            <xm:f>Читатели!$B:$B</xm:f>
          </x14:formula1>
          <xm:sqref>B3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itogi"/>
  <dimension ref="A1:J22"/>
  <sheetViews>
    <sheetView workbookViewId="0">
      <selection activeCell="J3" sqref="J3"/>
    </sheetView>
  </sheetViews>
  <sheetFormatPr defaultRowHeight="15" x14ac:dyDescent="0.25"/>
  <cols>
    <col min="1" max="1" width="16.140625" customWidth="1"/>
    <col min="2" max="2" width="23.140625" customWidth="1"/>
    <col min="3" max="3" width="22.5703125" bestFit="1" customWidth="1"/>
    <col min="4" max="4" width="18" bestFit="1" customWidth="1"/>
    <col min="5" max="5" width="34.5703125" bestFit="1" customWidth="1"/>
    <col min="6" max="6" width="18.5703125" customWidth="1"/>
    <col min="7" max="7" width="15" customWidth="1"/>
    <col min="8" max="8" width="16" customWidth="1"/>
    <col min="9" max="9" width="31.28515625" bestFit="1" customWidth="1"/>
  </cols>
  <sheetData>
    <row r="1" spans="1:10" x14ac:dyDescent="0.25">
      <c r="D1" s="77" t="s">
        <v>39</v>
      </c>
      <c r="E1" s="78"/>
      <c r="F1" s="47"/>
      <c r="G1" s="5"/>
      <c r="H1" s="5"/>
      <c r="I1" s="5"/>
    </row>
    <row r="2" spans="1:10" ht="15.75" thickBot="1" x14ac:dyDescent="0.3">
      <c r="D2" s="49" t="s">
        <v>40</v>
      </c>
      <c r="E2" s="50" t="s">
        <v>41</v>
      </c>
      <c r="F2" s="48"/>
      <c r="G2" s="5"/>
      <c r="H2" s="5"/>
      <c r="I2" s="5"/>
    </row>
    <row r="3" spans="1:10" ht="29.25" customHeight="1" thickBot="1" x14ac:dyDescent="0.3">
      <c r="D3" s="72"/>
      <c r="E3" s="74"/>
      <c r="F3" s="76"/>
      <c r="G3" s="5"/>
      <c r="H3" s="5"/>
      <c r="I3" s="52" t="s">
        <v>43</v>
      </c>
      <c r="J3" s="53">
        <v>11</v>
      </c>
    </row>
    <row r="4" spans="1:10" ht="15.75" thickBot="1" x14ac:dyDescent="0.3">
      <c r="D4" s="73"/>
      <c r="E4" s="75"/>
      <c r="F4" s="76"/>
      <c r="G4" s="5"/>
      <c r="H4" s="5"/>
      <c r="I4" s="5"/>
    </row>
    <row r="6" spans="1:10" x14ac:dyDescent="0.25">
      <c r="A6" t="s">
        <v>37</v>
      </c>
      <c r="B6" t="s">
        <v>1</v>
      </c>
      <c r="C6" t="s">
        <v>2</v>
      </c>
      <c r="D6" t="s">
        <v>21</v>
      </c>
      <c r="E6" t="s">
        <v>12</v>
      </c>
      <c r="F6" t="s">
        <v>15</v>
      </c>
      <c r="G6" t="s">
        <v>38</v>
      </c>
      <c r="H6" t="s">
        <v>19</v>
      </c>
    </row>
    <row r="7" spans="1:10" x14ac:dyDescent="0.25">
      <c r="A7">
        <v>540322</v>
      </c>
      <c r="B7" t="s">
        <v>8</v>
      </c>
      <c r="C7" t="s">
        <v>9</v>
      </c>
      <c r="D7" t="s">
        <v>35</v>
      </c>
      <c r="E7" t="s">
        <v>29</v>
      </c>
      <c r="F7">
        <v>21523</v>
      </c>
      <c r="G7" s="51">
        <v>40643</v>
      </c>
      <c r="H7" s="51">
        <v>40647</v>
      </c>
    </row>
    <row r="8" spans="1:10" x14ac:dyDescent="0.25">
      <c r="A8">
        <v>540322</v>
      </c>
      <c r="B8" t="s">
        <v>8</v>
      </c>
      <c r="C8" t="s">
        <v>9</v>
      </c>
      <c r="D8" t="s">
        <v>35</v>
      </c>
      <c r="E8" t="s">
        <v>29</v>
      </c>
      <c r="F8">
        <v>21523</v>
      </c>
      <c r="G8" s="51">
        <v>42050</v>
      </c>
      <c r="H8" s="51">
        <v>42416</v>
      </c>
    </row>
    <row r="9" spans="1:10" x14ac:dyDescent="0.25">
      <c r="A9">
        <v>123456</v>
      </c>
      <c r="B9" t="s">
        <v>5</v>
      </c>
      <c r="C9" t="s">
        <v>6</v>
      </c>
      <c r="D9" t="s">
        <v>31</v>
      </c>
      <c r="E9" t="s">
        <v>32</v>
      </c>
      <c r="F9">
        <v>89111111111</v>
      </c>
      <c r="G9" s="51">
        <v>43175</v>
      </c>
    </row>
    <row r="10" spans="1:10" x14ac:dyDescent="0.25">
      <c r="A10">
        <v>123456</v>
      </c>
      <c r="B10" t="s">
        <v>5</v>
      </c>
      <c r="C10" t="s">
        <v>6</v>
      </c>
      <c r="D10" t="s">
        <v>34</v>
      </c>
      <c r="E10" t="s">
        <v>12</v>
      </c>
      <c r="F10">
        <v>99999</v>
      </c>
      <c r="G10" s="51">
        <v>43174</v>
      </c>
    </row>
    <row r="11" spans="1:10" x14ac:dyDescent="0.25">
      <c r="A11">
        <v>234124</v>
      </c>
      <c r="B11" t="s">
        <v>5</v>
      </c>
      <c r="C11" t="s">
        <v>7</v>
      </c>
      <c r="D11" t="s">
        <v>34</v>
      </c>
      <c r="E11" t="s">
        <v>12</v>
      </c>
      <c r="F11">
        <v>99999</v>
      </c>
      <c r="G11" s="51">
        <v>42050</v>
      </c>
    </row>
    <row r="12" spans="1:10" x14ac:dyDescent="0.25">
      <c r="A12">
        <v>123456</v>
      </c>
      <c r="B12" t="s">
        <v>5</v>
      </c>
      <c r="C12" t="s">
        <v>6</v>
      </c>
      <c r="D12" t="s">
        <v>31</v>
      </c>
      <c r="E12" t="s">
        <v>32</v>
      </c>
      <c r="F12">
        <v>89111111111</v>
      </c>
      <c r="G12" s="51">
        <v>43439</v>
      </c>
    </row>
    <row r="13" spans="1:10" x14ac:dyDescent="0.25">
      <c r="A13">
        <v>123456</v>
      </c>
      <c r="B13" t="s">
        <v>5</v>
      </c>
      <c r="C13" t="s">
        <v>6</v>
      </c>
      <c r="D13" t="s">
        <v>42</v>
      </c>
      <c r="E13" t="s">
        <v>28</v>
      </c>
      <c r="F13">
        <v>89444444444</v>
      </c>
      <c r="G13" s="51">
        <v>42748</v>
      </c>
    </row>
    <row r="14" spans="1:10" x14ac:dyDescent="0.25">
      <c r="A14">
        <v>234124</v>
      </c>
      <c r="B14" t="s">
        <v>5</v>
      </c>
      <c r="C14" t="s">
        <v>7</v>
      </c>
      <c r="D14" t="s">
        <v>34</v>
      </c>
      <c r="E14" t="s">
        <v>12</v>
      </c>
      <c r="F14">
        <v>99999</v>
      </c>
      <c r="G14" s="51">
        <v>43804</v>
      </c>
    </row>
    <row r="15" spans="1:10" x14ac:dyDescent="0.25">
      <c r="A15">
        <v>123456</v>
      </c>
      <c r="B15" t="s">
        <v>5</v>
      </c>
      <c r="C15" t="s">
        <v>6</v>
      </c>
      <c r="D15" t="s">
        <v>42</v>
      </c>
      <c r="E15" t="s">
        <v>28</v>
      </c>
      <c r="F15">
        <v>89444444444</v>
      </c>
      <c r="G15" s="51">
        <v>43146</v>
      </c>
      <c r="H15" s="51">
        <v>43147</v>
      </c>
    </row>
    <row r="16" spans="1:10" x14ac:dyDescent="0.25">
      <c r="A16">
        <v>123456</v>
      </c>
      <c r="B16" t="s">
        <v>25</v>
      </c>
      <c r="C16" t="s">
        <v>26</v>
      </c>
      <c r="D16" t="s">
        <v>35</v>
      </c>
      <c r="E16" t="s">
        <v>29</v>
      </c>
      <c r="F16">
        <v>21523</v>
      </c>
      <c r="G16" s="51">
        <v>43174</v>
      </c>
      <c r="H16" s="51">
        <v>43542</v>
      </c>
    </row>
    <row r="17" spans="1:8" x14ac:dyDescent="0.25">
      <c r="A17">
        <v>123456</v>
      </c>
      <c r="B17" t="s">
        <v>5</v>
      </c>
      <c r="C17" t="s">
        <v>6</v>
      </c>
      <c r="D17" t="s">
        <v>34</v>
      </c>
      <c r="E17" t="s">
        <v>12</v>
      </c>
      <c r="F17">
        <v>99999</v>
      </c>
      <c r="G17" s="51">
        <v>43600</v>
      </c>
    </row>
    <row r="18" spans="1:8" x14ac:dyDescent="0.25">
      <c r="A18">
        <v>123456</v>
      </c>
      <c r="B18" t="s">
        <v>5</v>
      </c>
      <c r="C18" t="s">
        <v>6</v>
      </c>
      <c r="D18" t="s">
        <v>34</v>
      </c>
      <c r="E18" t="s">
        <v>12</v>
      </c>
      <c r="F18">
        <v>99999</v>
      </c>
      <c r="G18" s="51">
        <v>43146</v>
      </c>
    </row>
    <row r="19" spans="1:8" x14ac:dyDescent="0.25">
      <c r="A19">
        <v>540322</v>
      </c>
      <c r="B19" t="s">
        <v>8</v>
      </c>
      <c r="C19" t="s">
        <v>9</v>
      </c>
      <c r="D19" t="s">
        <v>31</v>
      </c>
      <c r="E19" t="s">
        <v>32</v>
      </c>
      <c r="F19">
        <v>89111111111</v>
      </c>
      <c r="G19" s="51">
        <v>43511</v>
      </c>
    </row>
    <row r="20" spans="1:8" x14ac:dyDescent="0.25">
      <c r="A20">
        <v>234124</v>
      </c>
      <c r="B20" t="s">
        <v>5</v>
      </c>
      <c r="C20" t="s">
        <v>7</v>
      </c>
      <c r="D20" t="s">
        <v>31</v>
      </c>
      <c r="E20" t="s">
        <v>32</v>
      </c>
      <c r="F20">
        <v>89111111111</v>
      </c>
      <c r="G20" s="51">
        <v>43449</v>
      </c>
      <c r="H20" s="51">
        <v>43483</v>
      </c>
    </row>
    <row r="21" spans="1:8" x14ac:dyDescent="0.25">
      <c r="A21">
        <v>123456</v>
      </c>
      <c r="B21" t="s">
        <v>5</v>
      </c>
      <c r="C21" t="s">
        <v>6</v>
      </c>
      <c r="D21" t="s">
        <v>35</v>
      </c>
      <c r="E21" t="s">
        <v>29</v>
      </c>
      <c r="F21">
        <v>21523</v>
      </c>
      <c r="G21" s="51">
        <v>43146</v>
      </c>
    </row>
    <row r="22" spans="1:8" x14ac:dyDescent="0.25">
      <c r="A22">
        <v>234124</v>
      </c>
      <c r="B22" t="s">
        <v>5</v>
      </c>
      <c r="C22" t="s">
        <v>7</v>
      </c>
      <c r="D22" t="s">
        <v>42</v>
      </c>
      <c r="E22" t="s">
        <v>28</v>
      </c>
      <c r="F22">
        <v>89444444444</v>
      </c>
      <c r="G22" s="51">
        <v>43524</v>
      </c>
    </row>
  </sheetData>
  <mergeCells count="4">
    <mergeCell ref="D3:D4"/>
    <mergeCell ref="E3:E4"/>
    <mergeCell ref="F3:F4"/>
    <mergeCell ref="D1:E1"/>
  </mergeCell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readteTalb">
                <anchor moveWithCells="1" sizeWithCells="1">
                  <from>
                    <xdr:col>3</xdr:col>
                    <xdr:colOff>38100</xdr:colOff>
                    <xdr:row>2</xdr:row>
                    <xdr:rowOff>38100</xdr:rowOff>
                  </from>
                  <to>
                    <xdr:col>3</xdr:col>
                    <xdr:colOff>1171575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delTBL">
                <anchor moveWithCells="1" sizeWithCells="1">
                  <from>
                    <xdr:col>4</xdr:col>
                    <xdr:colOff>66675</xdr:colOff>
                    <xdr:row>2</xdr:row>
                    <xdr:rowOff>47625</xdr:rowOff>
                  </from>
                  <to>
                    <xdr:col>4</xdr:col>
                    <xdr:colOff>2228850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itogiTWO"/>
  <dimension ref="A1:I8"/>
  <sheetViews>
    <sheetView workbookViewId="0">
      <selection activeCell="E1" sqref="E1:I1"/>
    </sheetView>
  </sheetViews>
  <sheetFormatPr defaultRowHeight="15" x14ac:dyDescent="0.25"/>
  <cols>
    <col min="1" max="1" width="14.140625" bestFit="1" customWidth="1"/>
    <col min="2" max="2" width="13.42578125" customWidth="1"/>
    <col min="3" max="3" width="16.140625" bestFit="1" customWidth="1"/>
    <col min="4" max="4" width="14.5703125" customWidth="1"/>
    <col min="5" max="5" width="15.85546875" customWidth="1"/>
    <col min="6" max="6" width="17.28515625" customWidth="1"/>
  </cols>
  <sheetData>
    <row r="1" spans="1:9" ht="33" customHeight="1" thickBot="1" x14ac:dyDescent="0.3">
      <c r="A1" s="82" t="s">
        <v>50</v>
      </c>
      <c r="B1" s="82"/>
      <c r="C1" s="82"/>
      <c r="D1" s="82"/>
      <c r="E1" s="83" t="s">
        <v>39</v>
      </c>
      <c r="F1" s="84"/>
      <c r="G1" s="84"/>
      <c r="H1" s="84"/>
      <c r="I1" s="85"/>
    </row>
    <row r="2" spans="1:9" ht="21" customHeight="1" thickTop="1" thickBot="1" x14ac:dyDescent="0.3">
      <c r="A2" s="61"/>
      <c r="B2" s="79" t="s">
        <v>44</v>
      </c>
      <c r="C2" s="79"/>
      <c r="D2" s="55" t="s">
        <v>35</v>
      </c>
      <c r="E2" s="65"/>
      <c r="F2" s="80"/>
      <c r="G2" s="63"/>
      <c r="H2" s="64"/>
      <c r="I2" s="61"/>
    </row>
    <row r="3" spans="1:9" ht="16.5" thickTop="1" thickBot="1" x14ac:dyDescent="0.3">
      <c r="A3" s="61"/>
      <c r="B3" s="61"/>
      <c r="C3" s="61"/>
      <c r="D3" s="61"/>
      <c r="E3" s="62"/>
      <c r="F3" s="81"/>
      <c r="G3" s="63"/>
      <c r="H3" s="64"/>
      <c r="I3" s="61"/>
    </row>
    <row r="4" spans="1:9" ht="15.75" thickBot="1" x14ac:dyDescent="0.3">
      <c r="F4" s="58"/>
      <c r="G4" s="5"/>
    </row>
    <row r="5" spans="1:9" ht="34.5" customHeight="1" thickBot="1" x14ac:dyDescent="0.3">
      <c r="E5" s="5"/>
      <c r="F5" s="59" t="s">
        <v>48</v>
      </c>
      <c r="G5" s="60"/>
    </row>
    <row r="7" spans="1:9" ht="39" customHeight="1" x14ac:dyDescent="0.25">
      <c r="A7" s="54" t="s">
        <v>37</v>
      </c>
      <c r="B7" s="54" t="s">
        <v>1</v>
      </c>
      <c r="C7" s="54" t="s">
        <v>2</v>
      </c>
      <c r="D7" s="56" t="s">
        <v>22</v>
      </c>
      <c r="E7" s="56" t="s">
        <v>49</v>
      </c>
      <c r="H7" s="57"/>
    </row>
    <row r="8" spans="1:9" x14ac:dyDescent="0.25">
      <c r="D8" s="51"/>
      <c r="E8" s="51"/>
    </row>
  </sheetData>
  <mergeCells count="4">
    <mergeCell ref="B2:C2"/>
    <mergeCell ref="F2:F3"/>
    <mergeCell ref="A1:D1"/>
    <mergeCell ref="E1:I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newTAB">
                <anchor moveWithCells="1" sizeWithCells="1">
                  <from>
                    <xdr:col>4</xdr:col>
                    <xdr:colOff>28575</xdr:colOff>
                    <xdr:row>1</xdr:row>
                    <xdr:rowOff>19050</xdr:rowOff>
                  </from>
                  <to>
                    <xdr:col>4</xdr:col>
                    <xdr:colOff>1047750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4" name="Button 10">
              <controlPr defaultSize="0" print="0" autoFill="0" autoPict="0" macro="[0]!delTBL2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57290A4-6EF7-4F0F-BEBD-71CDEDBFE2C5}">
          <x14:formula1>
            <xm:f>Читатели!$B:$B</xm:f>
          </x14:formula1>
          <xm:sqref>D2:E2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C7C3690-7E25-45F0-9C7B-4D6C42EE3C2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6</vt:i4>
      </vt:variant>
    </vt:vector>
  </HeadingPairs>
  <TitlesOfParts>
    <vt:vector size="11" baseType="lpstr">
      <vt:lpstr>Книги</vt:lpstr>
      <vt:lpstr>Читатели</vt:lpstr>
      <vt:lpstr>Выдачи</vt:lpstr>
      <vt:lpstr>Итоги</vt:lpstr>
      <vt:lpstr>Книги, взятые читателем</vt:lpstr>
      <vt:lpstr>BookName</vt:lpstr>
      <vt:lpstr>ClearList</vt:lpstr>
      <vt:lpstr>DATE1</vt:lpstr>
      <vt:lpstr>DATE2</vt:lpstr>
      <vt:lpstr>FIOREADER</vt:lpstr>
      <vt:lpstr>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Konstantin Babeshin</dc:creator>
  <cp:lastModifiedBy>Konstantin Babeshin</cp:lastModifiedBy>
  <dcterms:created xsi:type="dcterms:W3CDTF">2019-05-18T19:44:55Z</dcterms:created>
  <dcterms:modified xsi:type="dcterms:W3CDTF">2019-06-18T13:19:01Z</dcterms:modified>
</cp:coreProperties>
</file>